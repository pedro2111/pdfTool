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ção" sheetId="1" r:id="rId5"/>
    <sheet state="visible" name="Apresentação" sheetId="2" r:id="rId6"/>
  </sheets>
  <definedNames/>
  <calcPr/>
</workbook>
</file>

<file path=xl/sharedStrings.xml><?xml version="1.0" encoding="utf-8"?>
<sst xmlns="http://schemas.openxmlformats.org/spreadsheetml/2006/main" count="65" uniqueCount="65">
  <si>
    <t>Valor Apartamento</t>
  </si>
  <si>
    <t>Descontos</t>
  </si>
  <si>
    <t>Doação de Terreno</t>
  </si>
  <si>
    <t>Valor Entrada</t>
  </si>
  <si>
    <t>Cheque Morar Bem</t>
  </si>
  <si>
    <t>Valor Financiado</t>
  </si>
  <si>
    <t>Sinal de Compra</t>
  </si>
  <si>
    <t>Desconto Caixa</t>
  </si>
  <si>
    <t>MCMV (desconto Simu.)</t>
  </si>
  <si>
    <t>Valor da Parcela</t>
  </si>
  <si>
    <t>Valor do Apartamento Com Descontos Codahb</t>
  </si>
  <si>
    <t>Simulação Financiamento Caixa</t>
  </si>
  <si>
    <t>Valor Financiamento</t>
  </si>
  <si>
    <t>Entrada Sem os Descontos</t>
  </si>
  <si>
    <t>Resumo da Simulação</t>
  </si>
  <si>
    <t>Entrada após desconto</t>
  </si>
  <si>
    <t>Parcela Apartamento</t>
  </si>
  <si>
    <t>Após Aprovação Caixa</t>
  </si>
  <si>
    <t xml:space="preserve">Sinal </t>
  </si>
  <si>
    <t>Documentos do Cartório</t>
  </si>
  <si>
    <t>ANTES DE ABRIR O BOOK</t>
  </si>
  <si>
    <t xml:space="preserve"> Documentos necessário para correspondente Bancário</t>
  </si>
  <si>
    <t>Vou te mostrar o apartamento com calma e depois a gente vê juntos se faz sentido pra sua realidade, sem compromisso.</t>
  </si>
  <si>
    <t>PÁGINA 1</t>
  </si>
  <si>
    <t>Esse é o Essencial Riacho, pensado pra quem quer conquistar o primeiro apartamento sem complicação.</t>
  </si>
  <si>
    <t>PÁGINA 2</t>
  </si>
  <si>
    <t>A Direcional tem mais de 40 anos de mercado, o que traz segurança desde a obra até a entrega.</t>
  </si>
  <si>
    <t>PÁGINA 3</t>
  </si>
  <si>
    <t>Quando falamos em essencial, falamos de conforto, segurança e tranquilidade no dia a dia.</t>
  </si>
  <si>
    <t>PÁGINA 4</t>
  </si>
  <si>
    <t>Esse projeto foi pensado pra facilitar a rotina e não complicar a vida.</t>
  </si>
  <si>
    <t>PÁGINA 5</t>
  </si>
  <si>
    <t>É a continuidade de um projeto que já deu certo aqui na região.</t>
  </si>
  <si>
    <t>PÁGINA 6</t>
  </si>
  <si>
    <t>Aqui você já tem 2 quartos, condomínio fechado, lazer e portaria 24 horas.</t>
  </si>
  <si>
    <t>PÁGINA 7</t>
  </si>
  <si>
    <t>A ideia aqui é qualidade de vida, conforto e praticidade no dia a dia.</t>
  </si>
  <si>
    <t>PÁGINA 8</t>
  </si>
  <si>
    <t>A localização facilita muito a rotina, com mercado, transporte e serviços perto.</t>
  </si>
  <si>
    <t>PÁGINA 9</t>
  </si>
  <si>
    <t>É uma região em crescimento, bem estruturada e com tudo em volta.</t>
  </si>
  <si>
    <t>PÁGINA 10</t>
  </si>
  <si>
    <t>O condomínio é bem organizado, com áreas distribuídas pra facilitar a circulação.</t>
  </si>
  <si>
    <t>PÁGINA 11</t>
  </si>
  <si>
    <t>A portaria 24 horas traz mais controle e segurança pra quem mora aqui.</t>
  </si>
  <si>
    <t>PÁGINA 12</t>
  </si>
  <si>
    <t>Essa parte é mais técnica, depois te explico com calma se avançarmos.</t>
  </si>
  <si>
    <t>PÁGINA 13</t>
  </si>
  <si>
    <t>Os espaços de lazer foram pensados pra criar momentos com a família.</t>
  </si>
  <si>
    <t>PÁGINA 14</t>
  </si>
  <si>
    <t>Tudo isso já é entregue pronto, sem necessidade de obra depois.</t>
  </si>
  <si>
    <t>PÁGINA 15</t>
  </si>
  <si>
    <t>O playground é ótimo pra quem tem criança e também valoriza o condomínio.</t>
  </si>
  <si>
    <t>PÁGINA 16</t>
  </si>
  <si>
    <t>A piscina traz lazer e qualidade de vida, principalmente no dia a dia.</t>
  </si>
  <si>
    <t>PÁGINA 17</t>
  </si>
  <si>
    <t>É um espaço pra relaxar, descansar e aproveitar os bons momentos.</t>
  </si>
  <si>
    <t>PÁGINA 18</t>
  </si>
  <si>
    <t>O salão de festas permite comemorar sem precisar sair do condomínio.</t>
  </si>
  <si>
    <t>PÁGINA 19</t>
  </si>
  <si>
    <t>Agora vou te mostrar como é o apartamento por dentro.</t>
  </si>
  <si>
    <t>PÁGINA 20</t>
  </si>
  <si>
    <t>A sala é integrada com a cozinha, os dois quartos são bem distribuídos e não tem espaço perdido.</t>
  </si>
  <si>
    <t>ENCERRAMENTO (PÓS BOOK)</t>
  </si>
  <si>
    <t>Agora a gente vê juntos se esse apartamento faz sentido financeiramente pra você.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</si>
</sst>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4.0"/>
      <color rgb="FF333333"/>
      <name val="Arial"/>
    </font>
    <font/>
    <font>
      <color theme="1"/>
      <name val="Arial"/>
      <scheme val="minor"/>
    </font>
    <font>
      <color rgb="FF333333"/>
      <name val="Arial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1C232"/>
        <bgColor rgb="FFF1C232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7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/>
    </xf>
    <xf borderId="2" fillId="2" fontId="2" numFmtId="164" xfId="0" applyAlignment="1" applyBorder="1" applyFont="1" applyNumberFormat="1">
      <alignment readingOrder="0"/>
    </xf>
    <xf borderId="0" fillId="2" fontId="1" numFmtId="0" xfId="0" applyAlignment="1" applyFont="1">
      <alignment horizontal="center" readingOrder="0"/>
    </xf>
    <xf borderId="1" fillId="3" fontId="1" numFmtId="164" xfId="0" applyAlignment="1" applyBorder="1" applyFill="1" applyFont="1" applyNumberFormat="1">
      <alignment horizontal="center" readingOrder="0"/>
    </xf>
    <xf borderId="2" fillId="3" fontId="3" numFmtId="0" xfId="0" applyBorder="1" applyFont="1"/>
    <xf borderId="3" fillId="4" fontId="4" numFmtId="164" xfId="0" applyAlignment="1" applyBorder="1" applyFill="1" applyFont="1" applyNumberFormat="1">
      <alignment readingOrder="0"/>
    </xf>
    <xf borderId="4" fillId="4" fontId="4" numFmtId="164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" xfId="0" applyAlignment="1" applyFont="1" applyNumberFormat="1">
      <alignment readingOrder="0"/>
    </xf>
    <xf borderId="3" fillId="5" fontId="4" numFmtId="164" xfId="0" applyAlignment="1" applyBorder="1" applyFill="1" applyFont="1" applyNumberFormat="1">
      <alignment readingOrder="0"/>
    </xf>
    <xf borderId="4" fillId="5" fontId="4" numFmtId="164" xfId="0" applyAlignment="1" applyBorder="1" applyFont="1" applyNumberFormat="1">
      <alignment readingOrder="0"/>
    </xf>
    <xf borderId="0" fillId="4" fontId="5" numFmtId="4" xfId="0" applyAlignment="1" applyFont="1" applyNumberFormat="1">
      <alignment readingOrder="0"/>
    </xf>
    <xf borderId="5" fillId="5" fontId="4" numFmtId="164" xfId="0" applyAlignment="1" applyBorder="1" applyFont="1" applyNumberFormat="1">
      <alignment readingOrder="0"/>
    </xf>
    <xf borderId="6" fillId="5" fontId="4" numFmtId="164" xfId="0" applyAlignment="1" applyBorder="1" applyFont="1" applyNumberFormat="1">
      <alignment readingOrder="0"/>
    </xf>
    <xf borderId="0" fillId="4" fontId="5" numFmtId="164" xfId="0" applyAlignment="1" applyFont="1" applyNumberFormat="1">
      <alignment readingOrder="0"/>
    </xf>
    <xf borderId="1" fillId="6" fontId="4" numFmtId="0" xfId="0" applyAlignment="1" applyBorder="1" applyFill="1" applyFont="1">
      <alignment readingOrder="0"/>
    </xf>
    <xf borderId="4" fillId="6" fontId="4" numFmtId="0" xfId="0" applyAlignment="1" applyBorder="1" applyFont="1">
      <alignment readingOrder="0"/>
    </xf>
    <xf borderId="0" fillId="0" fontId="4" numFmtId="9" xfId="0" applyAlignment="1" applyFont="1" applyNumberFormat="1">
      <alignment readingOrder="0"/>
    </xf>
    <xf borderId="5" fillId="5" fontId="4" numFmtId="164" xfId="0" applyAlignment="1" applyBorder="1" applyFont="1" applyNumberFormat="1">
      <alignment horizontal="center" readingOrder="0"/>
    </xf>
    <xf borderId="6" fillId="5" fontId="3" numFmtId="0" xfId="0" applyBorder="1" applyFont="1"/>
    <xf borderId="1" fillId="7" fontId="6" numFmtId="164" xfId="0" applyAlignment="1" applyBorder="1" applyFill="1" applyFont="1" applyNumberFormat="1">
      <alignment horizontal="center" readingOrder="0"/>
    </xf>
    <xf borderId="2" fillId="7" fontId="3" numFmtId="0" xfId="0" applyBorder="1" applyFont="1"/>
    <xf borderId="4" fillId="4" fontId="5" numFmtId="164" xfId="0" applyAlignment="1" applyBorder="1" applyFont="1" applyNumberFormat="1">
      <alignment readingOrder="0"/>
    </xf>
    <xf borderId="3" fillId="8" fontId="4" numFmtId="164" xfId="0" applyAlignment="1" applyBorder="1" applyFill="1" applyFont="1" applyNumberFormat="1">
      <alignment readingOrder="0"/>
    </xf>
    <xf borderId="4" fillId="8" fontId="4" numFmtId="164" xfId="0" applyBorder="1" applyFont="1" applyNumberFormat="1"/>
    <xf borderId="3" fillId="4" fontId="4" numFmtId="0" xfId="0" applyAlignment="1" applyBorder="1" applyFont="1">
      <alignment readingOrder="0"/>
    </xf>
    <xf borderId="1" fillId="9" fontId="1" numFmtId="0" xfId="0" applyAlignment="1" applyBorder="1" applyFill="1" applyFont="1">
      <alignment horizontal="center" readingOrder="0"/>
    </xf>
    <xf borderId="2" fillId="9" fontId="3" numFmtId="0" xfId="0" applyBorder="1" applyFont="1"/>
    <xf borderId="5" fillId="10" fontId="5" numFmtId="164" xfId="0" applyAlignment="1" applyBorder="1" applyFill="1" applyFont="1" applyNumberFormat="1">
      <alignment readingOrder="0"/>
    </xf>
    <xf borderId="0" fillId="4" fontId="5" numFmtId="164" xfId="0" applyAlignment="1" applyFont="1" applyNumberFormat="1">
      <alignment readingOrder="0"/>
    </xf>
    <xf borderId="1" fillId="4" fontId="2" numFmtId="164" xfId="0" applyAlignment="1" applyBorder="1" applyFont="1" applyNumberFormat="1">
      <alignment horizontal="center" readingOrder="0"/>
    </xf>
    <xf borderId="2" fillId="4" fontId="3" numFmtId="0" xfId="0" applyBorder="1" applyFont="1"/>
    <xf borderId="3" fillId="10" fontId="5" numFmtId="164" xfId="0" applyAlignment="1" applyBorder="1" applyFont="1" applyNumberFormat="1">
      <alignment readingOrder="0"/>
    </xf>
    <xf borderId="4" fillId="10" fontId="5" numFmtId="164" xfId="0" applyAlignment="1" applyBorder="1" applyFont="1" applyNumberFormat="1">
      <alignment readingOrder="0"/>
    </xf>
    <xf borderId="5" fillId="4" fontId="5" numFmtId="164" xfId="0" applyAlignment="1" applyBorder="1" applyFont="1" applyNumberFormat="1">
      <alignment readingOrder="0"/>
    </xf>
    <xf borderId="6" fillId="4" fontId="5" numFmtId="164" xfId="0" applyAlignment="1" applyBorder="1" applyFont="1" applyNumberFormat="1">
      <alignment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2.38"/>
    <col customWidth="1" min="3" max="3" width="2.63"/>
    <col customWidth="1" min="4" max="4" width="19.63"/>
  </cols>
  <sheetData>
    <row r="1">
      <c r="A1" s="1" t="s">
        <v>0</v>
      </c>
      <c r="B1" s="2">
        <v>225000.0</v>
      </c>
      <c r="C1" s="3"/>
    </row>
    <row r="2">
      <c r="A2" s="4" t="s">
        <v>1</v>
      </c>
      <c r="B2" s="5"/>
    </row>
    <row r="3">
      <c r="A3" s="6" t="s">
        <v>2</v>
      </c>
      <c r="B3" s="7">
        <v>30500.0</v>
      </c>
      <c r="D3" s="8" t="s">
        <v>3</v>
      </c>
      <c r="E3" s="9">
        <v>46579.27</v>
      </c>
    </row>
    <row r="4">
      <c r="A4" s="10" t="s">
        <v>4</v>
      </c>
      <c r="B4" s="11">
        <v>16079.27</v>
      </c>
      <c r="D4" s="8" t="s">
        <v>5</v>
      </c>
      <c r="E4" s="12">
        <v>97881.88</v>
      </c>
    </row>
    <row r="5">
      <c r="A5" s="6" t="s">
        <v>6</v>
      </c>
      <c r="B5" s="12">
        <v>1000.0</v>
      </c>
      <c r="D5" s="8" t="s">
        <v>7</v>
      </c>
      <c r="E5" s="12">
        <v>23871.0</v>
      </c>
    </row>
    <row r="6">
      <c r="A6" s="13" t="s">
        <v>8</v>
      </c>
      <c r="B6" s="14">
        <f>E5</f>
        <v>23871</v>
      </c>
      <c r="D6" s="8" t="s">
        <v>9</v>
      </c>
      <c r="E6" s="15">
        <v>764.08</v>
      </c>
      <c r="J6" s="8">
        <v>1283.68</v>
      </c>
    </row>
    <row r="7">
      <c r="A7" s="16" t="s">
        <v>10</v>
      </c>
      <c r="B7" s="17"/>
      <c r="J7" s="18">
        <v>0.05</v>
      </c>
    </row>
    <row r="8">
      <c r="A8" s="19">
        <f>SUM(B1-B3-B4-B6)</f>
        <v>154549.73</v>
      </c>
      <c r="B8" s="20"/>
    </row>
    <row r="9">
      <c r="A9" s="21" t="s">
        <v>11</v>
      </c>
      <c r="B9" s="22"/>
    </row>
    <row r="10">
      <c r="A10" s="6" t="s">
        <v>12</v>
      </c>
      <c r="B10" s="23">
        <f>E4</f>
        <v>97881.88</v>
      </c>
      <c r="J10" s="18">
        <v>0.4</v>
      </c>
    </row>
    <row r="11">
      <c r="A11" s="24" t="s">
        <v>13</v>
      </c>
      <c r="B11" s="25">
        <f>E3</f>
        <v>46579.27</v>
      </c>
    </row>
    <row r="12" ht="7.5" customHeight="1">
      <c r="A12" s="26"/>
      <c r="B12" s="7"/>
    </row>
    <row r="13">
      <c r="A13" s="27" t="s">
        <v>14</v>
      </c>
      <c r="B13" s="28"/>
    </row>
    <row r="14">
      <c r="A14" s="26" t="s">
        <v>15</v>
      </c>
      <c r="B14" s="7">
        <f>SUM(B11-B3-B4)</f>
        <v>0</v>
      </c>
    </row>
    <row r="15">
      <c r="A15" s="29" t="s">
        <v>16</v>
      </c>
      <c r="B15" s="30">
        <f>E6</f>
        <v>764.08</v>
      </c>
    </row>
    <row r="16">
      <c r="A16" s="31" t="s">
        <v>17</v>
      </c>
      <c r="B16" s="32"/>
    </row>
    <row r="17">
      <c r="A17" s="33" t="s">
        <v>18</v>
      </c>
      <c r="B17" s="34">
        <v>1000.0</v>
      </c>
    </row>
    <row r="18">
      <c r="A18" s="35" t="s">
        <v>19</v>
      </c>
      <c r="B18" s="36">
        <v>2593.26</v>
      </c>
    </row>
  </sheetData>
  <mergeCells count="6">
    <mergeCell ref="C1:D1"/>
    <mergeCell ref="A2:B2"/>
    <mergeCell ref="A8:B8"/>
    <mergeCell ref="A9:B9"/>
    <mergeCell ref="A13:B13"/>
    <mergeCell ref="A16:B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25"/>
    <col customWidth="1" min="2" max="2" width="6.63"/>
    <col customWidth="1" min="3" max="3" width="42.25"/>
  </cols>
  <sheetData>
    <row r="1">
      <c r="A1" s="37" t="s">
        <v>20</v>
      </c>
      <c r="C1" s="8" t="s">
        <v>21</v>
      </c>
    </row>
    <row r="2">
      <c r="A2" s="38" t="s">
        <v>22</v>
      </c>
    </row>
    <row r="3">
      <c r="A3" s="37" t="s">
        <v>23</v>
      </c>
    </row>
    <row r="4">
      <c r="A4" s="38" t="s">
        <v>24</v>
      </c>
    </row>
    <row r="5">
      <c r="A5" s="37" t="s">
        <v>25</v>
      </c>
    </row>
    <row r="6">
      <c r="A6" s="8" t="s">
        <v>26</v>
      </c>
    </row>
    <row r="7">
      <c r="A7" s="37" t="s">
        <v>27</v>
      </c>
    </row>
    <row r="8">
      <c r="A8" s="8" t="s">
        <v>28</v>
      </c>
    </row>
    <row r="9">
      <c r="A9" s="37" t="s">
        <v>29</v>
      </c>
    </row>
    <row r="10">
      <c r="A10" s="8" t="s">
        <v>30</v>
      </c>
    </row>
    <row r="11">
      <c r="A11" s="37" t="s">
        <v>31</v>
      </c>
    </row>
    <row r="12">
      <c r="A12" s="8" t="s">
        <v>32</v>
      </c>
    </row>
    <row r="13">
      <c r="A13" s="37" t="s">
        <v>33</v>
      </c>
    </row>
    <row r="14">
      <c r="A14" s="8" t="s">
        <v>34</v>
      </c>
    </row>
    <row r="15">
      <c r="A15" s="37" t="s">
        <v>35</v>
      </c>
    </row>
    <row r="16">
      <c r="A16" s="8" t="s">
        <v>36</v>
      </c>
    </row>
    <row r="17">
      <c r="A17" s="37" t="s">
        <v>37</v>
      </c>
    </row>
    <row r="18">
      <c r="A18" s="8" t="s">
        <v>38</v>
      </c>
    </row>
    <row r="19">
      <c r="A19" s="37" t="s">
        <v>39</v>
      </c>
    </row>
    <row r="20">
      <c r="A20" s="8" t="s">
        <v>40</v>
      </c>
    </row>
    <row r="21">
      <c r="A21" s="37" t="s">
        <v>41</v>
      </c>
    </row>
    <row r="22">
      <c r="A22" s="8" t="s">
        <v>42</v>
      </c>
    </row>
    <row r="23">
      <c r="A23" s="37" t="s">
        <v>43</v>
      </c>
    </row>
    <row r="24">
      <c r="A24" s="8" t="s">
        <v>44</v>
      </c>
    </row>
    <row r="25">
      <c r="A25" s="37" t="s">
        <v>45</v>
      </c>
    </row>
    <row r="26">
      <c r="A26" s="8" t="s">
        <v>46</v>
      </c>
    </row>
    <row r="27">
      <c r="A27" s="37" t="s">
        <v>47</v>
      </c>
    </row>
    <row r="28">
      <c r="A28" s="8" t="s">
        <v>48</v>
      </c>
    </row>
    <row r="29">
      <c r="A29" s="37" t="s">
        <v>49</v>
      </c>
    </row>
    <row r="30">
      <c r="A30" s="8" t="s">
        <v>50</v>
      </c>
    </row>
    <row r="31">
      <c r="A31" s="37" t="s">
        <v>51</v>
      </c>
    </row>
    <row r="32">
      <c r="A32" s="8" t="s">
        <v>52</v>
      </c>
    </row>
    <row r="33">
      <c r="A33" s="37" t="s">
        <v>53</v>
      </c>
    </row>
    <row r="34">
      <c r="A34" s="8" t="s">
        <v>54</v>
      </c>
    </row>
    <row r="35">
      <c r="A35" s="37" t="s">
        <v>55</v>
      </c>
    </row>
    <row r="36">
      <c r="A36" s="8" t="s">
        <v>56</v>
      </c>
    </row>
    <row r="37">
      <c r="A37" s="37" t="s">
        <v>57</v>
      </c>
    </row>
    <row r="38">
      <c r="A38" s="8" t="s">
        <v>58</v>
      </c>
    </row>
    <row r="39">
      <c r="A39" s="37" t="s">
        <v>59</v>
      </c>
    </row>
    <row r="40">
      <c r="A40" s="8" t="s">
        <v>60</v>
      </c>
    </row>
    <row r="41">
      <c r="A41" s="37" t="s">
        <v>61</v>
      </c>
    </row>
    <row r="42">
      <c r="A42" s="8" t="s">
        <v>62</v>
      </c>
    </row>
    <row r="43">
      <c r="A43" s="37" t="s">
        <v>63</v>
      </c>
    </row>
    <row r="44">
      <c r="A44" s="39" t="s">
        <v>64</v>
      </c>
    </row>
    <row r="45">
      <c r="A45" s="40"/>
    </row>
  </sheetData>
  <drawing r:id="rId1"/>
</worksheet>
</file>